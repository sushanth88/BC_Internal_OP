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shanthgopireddy/Documents/Personal/BC_Internal_OP/Data Files/"/>
    </mc:Choice>
  </mc:AlternateContent>
  <xr:revisionPtr revIDLastSave="0" documentId="13_ncr:1_{5D75F18B-B9D7-3246-96AF-B4E7C23BE8BF}" xr6:coauthVersionLast="47" xr6:coauthVersionMax="47" xr10:uidLastSave="{00000000-0000-0000-0000-000000000000}"/>
  <bookViews>
    <workbookView xWindow="0" yWindow="780" windowWidth="36000" windowHeight="22600" xr2:uid="{32BD6D67-7846-9C48-B76F-8A623739CAAA}"/>
  </bookViews>
  <sheets>
    <sheet name="Sheet3" sheetId="2" r:id="rId1"/>
  </sheets>
  <externalReferences>
    <externalReference r:id="rId2"/>
  </externalReferences>
  <definedNames>
    <definedName name="_xlnm._FilterDatabase" localSheetId="0" hidden="1">Sheet3!$A$2:$U$60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5" i="2" l="1"/>
  <c r="Z15" i="2"/>
  <c r="X21" i="2"/>
  <c r="Y21" i="2"/>
  <c r="X18" i="2"/>
  <c r="X15" i="2"/>
  <c r="Y23" i="2"/>
  <c r="Y22" i="2"/>
  <c r="Y20" i="2"/>
  <c r="B62" i="2"/>
  <c r="Y16" i="2" s="1"/>
  <c r="Y17" i="2" s="1"/>
  <c r="Y18" i="2"/>
  <c r="Y15" i="2"/>
  <c r="U35" i="2"/>
  <c r="U9" i="2"/>
  <c r="U41" i="2" l="1"/>
  <c r="M18" i="2" l="1"/>
  <c r="N18" i="2" s="1"/>
  <c r="M17" i="2"/>
  <c r="N17" i="2" s="1"/>
  <c r="M16" i="2"/>
  <c r="N16" i="2" s="1"/>
  <c r="M15" i="2"/>
  <c r="N15" i="2" s="1"/>
  <c r="M14" i="2"/>
  <c r="N14" i="2" s="1"/>
  <c r="M13" i="2"/>
  <c r="N13" i="2" s="1"/>
  <c r="M12" i="2"/>
  <c r="N12" i="2" s="1"/>
  <c r="N20" i="2" l="1"/>
</calcChain>
</file>

<file path=xl/sharedStrings.xml><?xml version="1.0" encoding="utf-8"?>
<sst xmlns="http://schemas.openxmlformats.org/spreadsheetml/2006/main" count="97" uniqueCount="83">
  <si>
    <t>Actual</t>
  </si>
  <si>
    <t>Validated</t>
  </si>
  <si>
    <t>Payment Method</t>
  </si>
  <si>
    <t>RESTAURANT / EVENT HALL</t>
  </si>
  <si>
    <t>Restaurant and CAM Charges</t>
  </si>
  <si>
    <t>Restaurant CAM Charges</t>
  </si>
  <si>
    <t xml:space="preserve"> Restaurant Electric / Gas</t>
  </si>
  <si>
    <t xml:space="preserve"> Restaurant Verizon</t>
  </si>
  <si>
    <t xml:space="preserve">Veoila Water Business </t>
  </si>
  <si>
    <t>Restaurant  Insurance</t>
  </si>
  <si>
    <t>Event Hall Rent</t>
  </si>
  <si>
    <t>Optional</t>
  </si>
  <si>
    <t>Event Hall CAM Charges</t>
  </si>
  <si>
    <t>No of Days in a Year</t>
  </si>
  <si>
    <t>Front</t>
  </si>
  <si>
    <t>Back</t>
  </si>
  <si>
    <t>Total Hours</t>
  </si>
  <si>
    <t>Total Expenses</t>
  </si>
  <si>
    <t>Event Hall Electric / Gas</t>
  </si>
  <si>
    <t>Monday</t>
  </si>
  <si>
    <t>Event Hall Water</t>
  </si>
  <si>
    <t xml:space="preserve">Tuesday </t>
  </si>
  <si>
    <t>GUEST HOUSE</t>
  </si>
  <si>
    <t>Wednesday</t>
  </si>
  <si>
    <t>Thursday</t>
  </si>
  <si>
    <t>Guest House Rent</t>
  </si>
  <si>
    <t xml:space="preserve">Friday </t>
  </si>
  <si>
    <t>Guest House Electric</t>
  </si>
  <si>
    <t>Saturday</t>
  </si>
  <si>
    <t>Water/Sewer/Gas Guest House</t>
  </si>
  <si>
    <t>Sunday</t>
  </si>
  <si>
    <t>Guest House Verizon</t>
  </si>
  <si>
    <t>SALARIES (30 Day Average)</t>
  </si>
  <si>
    <t>Total</t>
  </si>
  <si>
    <t>Head Chef(Bala)</t>
  </si>
  <si>
    <t>Assistant Chef(Livingston)</t>
  </si>
  <si>
    <t>Assistant Chef(Raghav)</t>
  </si>
  <si>
    <t>Dishwasher(Nelson)</t>
  </si>
  <si>
    <t>Cutting(Juan)</t>
  </si>
  <si>
    <t>Sairam</t>
  </si>
  <si>
    <t>Sunny</t>
  </si>
  <si>
    <t>Kamruddin</t>
  </si>
  <si>
    <t>Poojitha</t>
  </si>
  <si>
    <t>POS / THIRD PARTIES</t>
  </si>
  <si>
    <t>Toast  / POS Subscription</t>
  </si>
  <si>
    <t xml:space="preserve">Toast Delivery Charges </t>
  </si>
  <si>
    <t>Door Dash Charges</t>
  </si>
  <si>
    <t xml:space="preserve">VEHICLE </t>
  </si>
  <si>
    <t>Vehicle Insurance</t>
  </si>
  <si>
    <t>Vehicle Gas</t>
  </si>
  <si>
    <t xml:space="preserve">KITCHEN SUPPLIES </t>
  </si>
  <si>
    <t>Meat Point</t>
  </si>
  <si>
    <t>Restaurant Depot and Store</t>
  </si>
  <si>
    <t>Restaurant Store</t>
  </si>
  <si>
    <t>Apna Bazaar</t>
  </si>
  <si>
    <t>PARIVAAR</t>
  </si>
  <si>
    <t>Masala Bucket</t>
  </si>
  <si>
    <t>Costco</t>
  </si>
  <si>
    <t>House Of Spices</t>
  </si>
  <si>
    <t>Liquor Inventory</t>
  </si>
  <si>
    <t>KITCHEN MAINTENANCE</t>
  </si>
  <si>
    <t>Termac Dishwashing</t>
  </si>
  <si>
    <t>Western Pest Services</t>
  </si>
  <si>
    <t>Termac Grease Trap</t>
  </si>
  <si>
    <t>MARKETING</t>
  </si>
  <si>
    <t>Franchise Fee</t>
  </si>
  <si>
    <t>Hawking Media Marketing</t>
  </si>
  <si>
    <t>Sales Summary</t>
  </si>
  <si>
    <t>Point Of Sale</t>
  </si>
  <si>
    <t xml:space="preserve">Gross Sale </t>
  </si>
  <si>
    <t>Comission &amp; Fees</t>
  </si>
  <si>
    <t xml:space="preserve">Adjustments and Refunds </t>
  </si>
  <si>
    <t>Net Deposits</t>
  </si>
  <si>
    <t>Toast</t>
  </si>
  <si>
    <t>2025(June)</t>
  </si>
  <si>
    <t>Clover</t>
  </si>
  <si>
    <t>Door Dash</t>
  </si>
  <si>
    <t>Uber</t>
  </si>
  <si>
    <t>Grubhub</t>
  </si>
  <si>
    <t>Party Orders</t>
  </si>
  <si>
    <t>Interest Income</t>
  </si>
  <si>
    <t>Security Deposit Return</t>
  </si>
  <si>
    <t xml:space="preserve">Business Insurance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</si>
</sst>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name val="Times New Roman"/>
      <family val="1"/>
    </font>
    <font>
      <sz val="12"/>
      <color theme="1"/>
      <name val="Times New Roman"/>
      <family val="1"/>
    </font>
    <font>
      <b/>
      <sz val="20"/>
      <name val="Times New Roman"/>
      <family val="1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sz val="18"/>
      <color theme="1"/>
      <name val="Aptos Narrow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3499862666707357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4">
    <xf numFmtId="0" fontId="0" fillId="0" borderId="0" xfId="0"/>
    <xf numFmtId="0" fontId="2" fillId="0" borderId="1" xfId="0" applyFont="1" applyBorder="1" applyAlignment="1">
      <alignment horizontal="center" vertical="center"/>
    </xf>
    <xf numFmtId="44" fontId="2" fillId="0" borderId="1" xfId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44" fontId="3" fillId="0" borderId="1" xfId="1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44" fontId="3" fillId="0" borderId="0" xfId="1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4" fontId="0" fillId="0" borderId="1" xfId="1" applyFont="1" applyBorder="1" applyAlignment="1">
      <alignment horizontal="center" vertical="center"/>
    </xf>
    <xf numFmtId="44" fontId="0" fillId="0" borderId="1" xfId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4" fontId="2" fillId="0" borderId="8" xfId="1" applyFont="1" applyFill="1" applyBorder="1" applyAlignment="1">
      <alignment horizontal="center" vertical="center"/>
    </xf>
    <xf numFmtId="44" fontId="2" fillId="0" borderId="9" xfId="1" applyFont="1" applyFill="1" applyBorder="1" applyAlignment="1">
      <alignment horizontal="center" vertical="center"/>
    </xf>
    <xf numFmtId="44" fontId="2" fillId="0" borderId="10" xfId="1" applyFont="1" applyFill="1" applyBorder="1" applyAlignment="1">
      <alignment horizontal="center" vertical="center"/>
    </xf>
    <xf numFmtId="44" fontId="5" fillId="0" borderId="1" xfId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4" fontId="6" fillId="0" borderId="1" xfId="0" applyNumberFormat="1" applyFont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44" fontId="0" fillId="0" borderId="0" xfId="1" applyFont="1" applyAlignment="1">
      <alignment horizontal="center" vertical="center"/>
    </xf>
    <xf numFmtId="44" fontId="8" fillId="0" borderId="1" xfId="1" applyFont="1" applyBorder="1"/>
    <xf numFmtId="44" fontId="8" fillId="0" borderId="11" xfId="1" applyFont="1" applyBorder="1" applyAlignment="1">
      <alignment horizontal="center" vertical="center"/>
    </xf>
    <xf numFmtId="44" fontId="0" fillId="3" borderId="1" xfId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8" fontId="0" fillId="0" borderId="0" xfId="0" applyNumberFormat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e69435766662376/Sushanth%20Files/Documents/Personal/Finances/Business/Biryani%20City/LLC%20Files/Bookkeeping/Monthly%20Statements/Consolidated/Biryani%20City_10_2022_06_2025.xlsx" TargetMode="External"/><Relationship Id="rId1" Type="http://schemas.openxmlformats.org/officeDocument/2006/relationships/externalLinkPath" Target="https://d.docs.live.net/5e69435766662376/Sushanth%20Files/Documents/Personal/Finances/Business/Biryani%20City/LLC%20Files/Bookkeeping/Monthly%20Statements/Consolidated/Biryani%20City_10_2022_06_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(2022_2025)"/>
      <sheetName val="AMEX(2022_2024)"/>
      <sheetName val="Banks(2022_2024)"/>
      <sheetName val="Summary_2025"/>
      <sheetName val="BC_Activity_2025"/>
      <sheetName val="Masala Buckets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510A1-C344-B446-A72C-29AC629A6006}">
  <dimension ref="A1:AA62"/>
  <sheetViews>
    <sheetView tabSelected="1" topLeftCell="C7" zoomScale="115" zoomScaleNormal="96" workbookViewId="0">
      <selection activeCell="A29" sqref="A29"/>
    </sheetView>
  </sheetViews>
  <sheetFormatPr baseColWidth="10" defaultRowHeight="16" x14ac:dyDescent="0.2"/>
  <cols>
    <col min="1" max="1" width="26.1640625" style="4" bestFit="1" customWidth="1"/>
    <col min="2" max="2" width="11.5" style="4" bestFit="1" customWidth="1"/>
    <col min="3" max="3" width="8.6640625" style="4" bestFit="1" customWidth="1"/>
    <col min="4" max="4" width="14.6640625" style="4" bestFit="1" customWidth="1"/>
    <col min="5" max="8" width="10.83203125" style="4"/>
    <col min="9" max="9" width="10.5" style="4" bestFit="1" customWidth="1"/>
    <col min="10" max="10" width="17" style="4" bestFit="1" customWidth="1"/>
    <col min="11" max="11" width="5.5" style="4" bestFit="1" customWidth="1"/>
    <col min="12" max="12" width="5.1640625" style="4" bestFit="1" customWidth="1"/>
    <col min="13" max="13" width="10.5" style="4" bestFit="1" customWidth="1"/>
    <col min="14" max="14" width="13.1640625" style="4" bestFit="1" customWidth="1"/>
    <col min="15" max="15" width="10.83203125" style="4"/>
    <col min="16" max="16" width="20.5" style="4" bestFit="1" customWidth="1"/>
    <col min="17" max="17" width="10.33203125" style="4" bestFit="1" customWidth="1"/>
    <col min="18" max="18" width="13.6640625" style="4" bestFit="1" customWidth="1"/>
    <col min="19" max="19" width="20.5" style="4" bestFit="1" customWidth="1"/>
    <col min="20" max="20" width="22.1640625" style="4" bestFit="1" customWidth="1"/>
    <col min="21" max="21" width="15.33203125" style="4" bestFit="1" customWidth="1"/>
    <col min="22" max="22" width="10.83203125" style="4"/>
    <col min="23" max="23" width="11" style="4" bestFit="1" customWidth="1"/>
    <col min="24" max="24" width="15.33203125" style="4" bestFit="1" customWidth="1"/>
    <col min="25" max="25" width="12.6640625" style="4" bestFit="1" customWidth="1"/>
    <col min="26" max="26" width="13.6640625" style="4" bestFit="1" customWidth="1"/>
    <col min="27" max="27" width="12.6640625" style="4" bestFit="1" customWidth="1"/>
    <col min="28" max="16384" width="10.83203125" style="4"/>
  </cols>
  <sheetData>
    <row r="1" spans="1:27" ht="24" x14ac:dyDescent="0.2">
      <c r="A1" s="1"/>
      <c r="B1" s="2" t="s">
        <v>0</v>
      </c>
      <c r="C1" s="3" t="s">
        <v>1</v>
      </c>
      <c r="D1" s="1" t="s">
        <v>2</v>
      </c>
      <c r="P1" s="25" t="s">
        <v>67</v>
      </c>
      <c r="Q1" s="26"/>
      <c r="R1" s="26"/>
      <c r="S1" s="26"/>
      <c r="T1" s="26"/>
      <c r="U1" s="26"/>
    </row>
    <row r="2" spans="1:27" x14ac:dyDescent="0.2">
      <c r="A2" s="5" t="s">
        <v>3</v>
      </c>
      <c r="B2" s="6"/>
      <c r="C2" s="6"/>
      <c r="D2" s="7"/>
      <c r="P2" s="31" t="s">
        <v>68</v>
      </c>
      <c r="Q2" s="31"/>
      <c r="R2" s="31" t="s">
        <v>69</v>
      </c>
      <c r="S2" s="31" t="s">
        <v>70</v>
      </c>
      <c r="T2" s="31" t="s">
        <v>71</v>
      </c>
      <c r="U2" s="31" t="s">
        <v>72</v>
      </c>
    </row>
    <row r="3" spans="1:27" x14ac:dyDescent="0.2">
      <c r="A3" s="8"/>
      <c r="B3" s="9"/>
      <c r="C3" s="9"/>
      <c r="D3" s="10"/>
      <c r="P3" s="14"/>
      <c r="Q3" s="14"/>
      <c r="R3" s="14"/>
      <c r="S3" s="14"/>
      <c r="T3" s="14"/>
      <c r="U3" s="14"/>
    </row>
    <row r="4" spans="1:27" x14ac:dyDescent="0.2">
      <c r="A4" s="1" t="s">
        <v>4</v>
      </c>
      <c r="B4" s="2">
        <v>2494</v>
      </c>
      <c r="C4" s="3"/>
      <c r="D4" s="1"/>
      <c r="P4" s="14" t="s">
        <v>73</v>
      </c>
      <c r="Q4" s="14">
        <v>2022</v>
      </c>
      <c r="R4" s="16">
        <v>71281.569999999978</v>
      </c>
      <c r="S4" s="16">
        <v>2126.9599999999996</v>
      </c>
      <c r="T4" s="16">
        <v>0</v>
      </c>
      <c r="U4" s="16">
        <v>69154.609999999957</v>
      </c>
    </row>
    <row r="5" spans="1:27" x14ac:dyDescent="0.2">
      <c r="A5" s="1" t="s">
        <v>5</v>
      </c>
      <c r="B5" s="2">
        <v>666</v>
      </c>
      <c r="C5" s="3"/>
      <c r="D5" s="1"/>
      <c r="P5" s="14"/>
      <c r="Q5" s="14">
        <v>2023</v>
      </c>
      <c r="R5" s="16">
        <v>572339.30999999982</v>
      </c>
      <c r="S5" s="16">
        <v>17561.939999999995</v>
      </c>
      <c r="T5" s="16">
        <v>435.47</v>
      </c>
      <c r="U5" s="16">
        <v>554341.9</v>
      </c>
    </row>
    <row r="6" spans="1:27" x14ac:dyDescent="0.2">
      <c r="A6" s="1" t="s">
        <v>6</v>
      </c>
      <c r="B6" s="11">
        <v>1700</v>
      </c>
      <c r="C6" s="1"/>
      <c r="D6" s="12"/>
      <c r="P6" s="14"/>
      <c r="Q6" s="14">
        <v>2024</v>
      </c>
      <c r="R6" s="16">
        <v>605892.97999999986</v>
      </c>
      <c r="S6" s="16">
        <v>18513.79</v>
      </c>
      <c r="T6" s="16">
        <v>496.19</v>
      </c>
      <c r="U6" s="16">
        <v>586883.00000000035</v>
      </c>
    </row>
    <row r="7" spans="1:27" x14ac:dyDescent="0.2">
      <c r="A7" s="1" t="s">
        <v>7</v>
      </c>
      <c r="B7" s="11">
        <v>247.95</v>
      </c>
      <c r="C7" s="3"/>
      <c r="D7" s="1"/>
      <c r="P7" s="14"/>
      <c r="Q7" s="14" t="s">
        <v>74</v>
      </c>
      <c r="R7" s="16">
        <v>263824.98</v>
      </c>
      <c r="S7" s="16">
        <v>7995.239999999998</v>
      </c>
      <c r="T7" s="16">
        <v>52.5</v>
      </c>
      <c r="U7" s="16">
        <v>255777.24</v>
      </c>
    </row>
    <row r="8" spans="1:27" x14ac:dyDescent="0.2">
      <c r="A8" s="1" t="s">
        <v>8</v>
      </c>
      <c r="B8" s="11">
        <v>200</v>
      </c>
      <c r="C8" s="3"/>
      <c r="D8" s="1"/>
      <c r="P8" s="14"/>
      <c r="Q8" s="14"/>
      <c r="R8" s="16"/>
      <c r="S8" s="16"/>
      <c r="T8" s="16"/>
      <c r="U8" s="16"/>
    </row>
    <row r="9" spans="1:27" x14ac:dyDescent="0.2">
      <c r="A9" s="1" t="s">
        <v>9</v>
      </c>
      <c r="B9" s="13">
        <v>730</v>
      </c>
      <c r="C9" s="3"/>
      <c r="D9" s="1"/>
      <c r="P9" s="14" t="s">
        <v>75</v>
      </c>
      <c r="Q9" s="14">
        <v>2022</v>
      </c>
      <c r="R9" s="16">
        <v>57023.900000000009</v>
      </c>
      <c r="S9" s="16">
        <v>2210.3000000000002</v>
      </c>
      <c r="T9" s="16"/>
      <c r="U9" s="16">
        <f>R9-S9</f>
        <v>54813.600000000006</v>
      </c>
    </row>
    <row r="10" spans="1:27" x14ac:dyDescent="0.2">
      <c r="A10" s="1" t="s">
        <v>10</v>
      </c>
      <c r="B10" s="11">
        <v>2720</v>
      </c>
      <c r="C10" s="3"/>
      <c r="D10" s="1" t="s">
        <v>11</v>
      </c>
      <c r="P10" s="14"/>
      <c r="Q10" s="14"/>
      <c r="R10" s="16"/>
      <c r="S10" s="16"/>
      <c r="T10" s="16"/>
      <c r="U10" s="16"/>
    </row>
    <row r="11" spans="1:27" x14ac:dyDescent="0.2">
      <c r="A11" s="1" t="s">
        <v>12</v>
      </c>
      <c r="B11" s="2">
        <v>567</v>
      </c>
      <c r="C11" s="3"/>
      <c r="D11" s="1" t="s">
        <v>11</v>
      </c>
      <c r="I11" s="14"/>
      <c r="J11" s="14" t="s">
        <v>13</v>
      </c>
      <c r="K11" s="14" t="s">
        <v>14</v>
      </c>
      <c r="L11" s="14" t="s">
        <v>15</v>
      </c>
      <c r="M11" s="14" t="s">
        <v>16</v>
      </c>
      <c r="N11" s="14" t="s">
        <v>17</v>
      </c>
      <c r="P11" s="14"/>
      <c r="Q11" s="14"/>
      <c r="R11" s="16"/>
      <c r="S11" s="16"/>
      <c r="T11" s="16"/>
      <c r="U11" s="16"/>
    </row>
    <row r="12" spans="1:27" x14ac:dyDescent="0.2">
      <c r="A12" s="1" t="s">
        <v>18</v>
      </c>
      <c r="B12" s="2">
        <v>500</v>
      </c>
      <c r="C12" s="3"/>
      <c r="D12" s="1" t="s">
        <v>11</v>
      </c>
      <c r="I12" s="14" t="s">
        <v>19</v>
      </c>
      <c r="J12" s="14">
        <v>52</v>
      </c>
      <c r="K12" s="15">
        <v>20</v>
      </c>
      <c r="L12" s="15"/>
      <c r="M12" s="14">
        <f>J12*K12</f>
        <v>1040</v>
      </c>
      <c r="N12" s="16">
        <f>M12*11</f>
        <v>11440</v>
      </c>
      <c r="P12" s="14" t="s">
        <v>76</v>
      </c>
      <c r="Q12" s="14">
        <v>2022</v>
      </c>
      <c r="R12" s="16">
        <v>42678.82</v>
      </c>
      <c r="S12" s="16">
        <v>9836.18</v>
      </c>
      <c r="T12" s="27"/>
      <c r="U12" s="17">
        <v>32842.639999999999</v>
      </c>
    </row>
    <row r="13" spans="1:27" x14ac:dyDescent="0.2">
      <c r="A13" s="1" t="s">
        <v>20</v>
      </c>
      <c r="B13" s="2">
        <v>50</v>
      </c>
      <c r="C13" s="3"/>
      <c r="D13" s="1" t="s">
        <v>11</v>
      </c>
      <c r="I13" s="14" t="s">
        <v>21</v>
      </c>
      <c r="J13" s="14">
        <v>52</v>
      </c>
      <c r="K13" s="15">
        <v>20</v>
      </c>
      <c r="L13" s="15"/>
      <c r="M13" s="14">
        <f>J13*K13</f>
        <v>1040</v>
      </c>
      <c r="N13" s="16">
        <f t="shared" ref="N13:N18" si="0">M13*11</f>
        <v>11440</v>
      </c>
      <c r="P13" s="14"/>
      <c r="Q13" s="14">
        <v>2023</v>
      </c>
      <c r="R13" s="16">
        <v>132956.88</v>
      </c>
      <c r="S13" s="16">
        <v>30997.53</v>
      </c>
      <c r="T13" s="16"/>
      <c r="U13" s="16">
        <v>101959.35</v>
      </c>
    </row>
    <row r="14" spans="1:27" x14ac:dyDescent="0.2">
      <c r="A14" s="5" t="s">
        <v>22</v>
      </c>
      <c r="B14" s="6"/>
      <c r="C14" s="6"/>
      <c r="D14" s="7"/>
      <c r="I14" s="14" t="s">
        <v>23</v>
      </c>
      <c r="J14" s="14">
        <v>52</v>
      </c>
      <c r="K14" s="15">
        <v>20</v>
      </c>
      <c r="L14" s="15"/>
      <c r="M14" s="14">
        <f>J14*K14</f>
        <v>1040</v>
      </c>
      <c r="N14" s="16">
        <f t="shared" si="0"/>
        <v>11440</v>
      </c>
      <c r="P14" s="14"/>
      <c r="Q14" s="14">
        <v>2024</v>
      </c>
      <c r="R14" s="16">
        <v>144110.76999999999</v>
      </c>
      <c r="S14" s="16">
        <v>40531.300000000003</v>
      </c>
      <c r="T14" s="16"/>
      <c r="U14" s="16">
        <v>104116.89</v>
      </c>
    </row>
    <row r="15" spans="1:27" x14ac:dyDescent="0.2">
      <c r="A15" s="8"/>
      <c r="B15" s="9"/>
      <c r="C15" s="9"/>
      <c r="D15" s="10"/>
      <c r="I15" s="14" t="s">
        <v>24</v>
      </c>
      <c r="J15" s="14">
        <v>52</v>
      </c>
      <c r="K15" s="15">
        <v>20</v>
      </c>
      <c r="L15" s="15"/>
      <c r="M15" s="14">
        <f>J15*K15</f>
        <v>1040</v>
      </c>
      <c r="N15" s="16">
        <f t="shared" si="0"/>
        <v>11440</v>
      </c>
      <c r="P15" s="14"/>
      <c r="Q15" s="14" t="s">
        <v>74</v>
      </c>
      <c r="R15" s="16">
        <v>88439.72</v>
      </c>
      <c r="S15" s="16">
        <v>23972.579999999998</v>
      </c>
      <c r="T15" s="16"/>
      <c r="U15" s="16">
        <v>64466.94</v>
      </c>
      <c r="W15" s="4">
        <v>2024</v>
      </c>
      <c r="X15" s="32">
        <f>U6+U14+U20+U26+U33</f>
        <v>1058934.9330000004</v>
      </c>
      <c r="Y15" s="32">
        <f>X15/12</f>
        <v>88244.57775000004</v>
      </c>
      <c r="Z15" s="32">
        <f>X15-U33</f>
        <v>757450.90000000037</v>
      </c>
      <c r="AA15" s="32">
        <f>Z15/12</f>
        <v>63120.908333333362</v>
      </c>
    </row>
    <row r="16" spans="1:27" x14ac:dyDescent="0.2">
      <c r="A16" s="1" t="s">
        <v>25</v>
      </c>
      <c r="B16" s="11">
        <v>2700</v>
      </c>
      <c r="C16" s="3"/>
      <c r="D16" s="1"/>
      <c r="I16" s="14" t="s">
        <v>26</v>
      </c>
      <c r="J16" s="14">
        <v>52</v>
      </c>
      <c r="K16" s="15">
        <v>30</v>
      </c>
      <c r="L16" s="15"/>
      <c r="M16" s="14">
        <f>J16*K16</f>
        <v>1560</v>
      </c>
      <c r="N16" s="16">
        <f t="shared" si="0"/>
        <v>17160</v>
      </c>
      <c r="P16" s="14"/>
      <c r="Q16" s="14"/>
      <c r="R16" s="16"/>
      <c r="S16" s="16"/>
      <c r="T16" s="16"/>
      <c r="U16" s="16"/>
      <c r="Y16" s="32">
        <f>B62</f>
        <v>75033.45</v>
      </c>
      <c r="AA16" s="33">
        <v>75033.45</v>
      </c>
    </row>
    <row r="17" spans="1:25" x14ac:dyDescent="0.2">
      <c r="A17" s="1" t="s">
        <v>27</v>
      </c>
      <c r="B17" s="17">
        <v>150</v>
      </c>
      <c r="C17" s="3"/>
      <c r="D17" s="1"/>
      <c r="I17" s="14" t="s">
        <v>28</v>
      </c>
      <c r="J17" s="14">
        <v>52</v>
      </c>
      <c r="K17" s="15">
        <v>30</v>
      </c>
      <c r="L17" s="15"/>
      <c r="M17" s="14">
        <f>J17*K17</f>
        <v>1560</v>
      </c>
      <c r="N17" s="16">
        <f t="shared" si="0"/>
        <v>17160</v>
      </c>
      <c r="P17" s="14"/>
      <c r="Q17" s="14"/>
      <c r="R17" s="16"/>
      <c r="S17" s="16"/>
      <c r="T17" s="16"/>
      <c r="U17" s="16"/>
      <c r="Y17" s="32">
        <f>Y15-Y16</f>
        <v>13211.127750000043</v>
      </c>
    </row>
    <row r="18" spans="1:25" x14ac:dyDescent="0.2">
      <c r="A18" s="1" t="s">
        <v>29</v>
      </c>
      <c r="B18" s="2">
        <v>50</v>
      </c>
      <c r="C18" s="3"/>
      <c r="D18" s="1"/>
      <c r="I18" s="14" t="s">
        <v>30</v>
      </c>
      <c r="J18" s="14">
        <v>52</v>
      </c>
      <c r="K18" s="15">
        <v>27</v>
      </c>
      <c r="L18" s="15"/>
      <c r="M18" s="14">
        <f>J18*K18</f>
        <v>1404</v>
      </c>
      <c r="N18" s="16">
        <f t="shared" si="0"/>
        <v>15444</v>
      </c>
      <c r="P18" s="14" t="s">
        <v>77</v>
      </c>
      <c r="Q18" s="14">
        <v>2022</v>
      </c>
      <c r="R18" s="16">
        <v>6181.2499999999945</v>
      </c>
      <c r="S18" s="16">
        <v>1157.08</v>
      </c>
      <c r="T18" s="27"/>
      <c r="U18" s="17">
        <v>5024.17</v>
      </c>
      <c r="W18" s="4">
        <v>2023</v>
      </c>
      <c r="X18" s="32">
        <f>U13+U19+U25+U32+U5</f>
        <v>1023102.49</v>
      </c>
      <c r="Y18" s="32">
        <f>X18/12</f>
        <v>85258.540833333333</v>
      </c>
    </row>
    <row r="19" spans="1:25" x14ac:dyDescent="0.2">
      <c r="A19" s="1" t="s">
        <v>31</v>
      </c>
      <c r="B19" s="2">
        <v>80</v>
      </c>
      <c r="C19" s="3"/>
      <c r="D19" s="1"/>
      <c r="I19" s="14"/>
      <c r="J19" s="14"/>
      <c r="K19" s="14"/>
      <c r="L19" s="14"/>
      <c r="M19" s="14"/>
      <c r="N19" s="16"/>
      <c r="P19" s="14"/>
      <c r="Q19" s="14">
        <v>2023</v>
      </c>
      <c r="R19" s="28">
        <v>39976.949999999997</v>
      </c>
      <c r="S19" s="29">
        <v>8650.5499999999993</v>
      </c>
      <c r="T19" s="16"/>
      <c r="U19" s="16">
        <v>31326.400000000001</v>
      </c>
      <c r="Y19" s="33">
        <v>75033.45</v>
      </c>
    </row>
    <row r="20" spans="1:25" x14ac:dyDescent="0.2">
      <c r="A20" s="5" t="s">
        <v>32</v>
      </c>
      <c r="B20" s="6"/>
      <c r="C20" s="6"/>
      <c r="D20" s="7"/>
      <c r="I20" s="14"/>
      <c r="J20" s="14"/>
      <c r="K20" s="14"/>
      <c r="L20" s="14"/>
      <c r="M20" s="14" t="s">
        <v>33</v>
      </c>
      <c r="N20" s="17">
        <f>SUM(N12:N19)</f>
        <v>95524</v>
      </c>
      <c r="P20" s="14"/>
      <c r="Q20" s="14">
        <v>2024</v>
      </c>
      <c r="R20" s="16">
        <v>60115.75</v>
      </c>
      <c r="S20" s="16">
        <v>18063.03</v>
      </c>
      <c r="T20" s="27"/>
      <c r="U20" s="16">
        <v>42052.72</v>
      </c>
      <c r="Y20" s="32">
        <f>Y18-Y19</f>
        <v>10225.090833333335</v>
      </c>
    </row>
    <row r="21" spans="1:25" x14ac:dyDescent="0.2">
      <c r="A21" s="8"/>
      <c r="B21" s="9"/>
      <c r="C21" s="9"/>
      <c r="D21" s="10"/>
      <c r="P21" s="14"/>
      <c r="Q21" s="14" t="s">
        <v>74</v>
      </c>
      <c r="R21" s="16">
        <v>29385.99</v>
      </c>
      <c r="S21" s="16">
        <v>9039.41</v>
      </c>
      <c r="T21" s="16"/>
      <c r="U21" s="16">
        <v>20346.580000000002</v>
      </c>
      <c r="X21" s="32">
        <f>U7+U15+U21+U27+U34</f>
        <v>452324.24</v>
      </c>
      <c r="Y21" s="32">
        <f>X21/6</f>
        <v>75387.373333333337</v>
      </c>
    </row>
    <row r="22" spans="1:25" x14ac:dyDescent="0.2">
      <c r="A22" s="1" t="s">
        <v>34</v>
      </c>
      <c r="B22" s="2">
        <v>6857</v>
      </c>
      <c r="C22" s="3"/>
      <c r="D22" s="18"/>
      <c r="P22" s="14"/>
      <c r="Q22" s="14"/>
      <c r="R22" s="16"/>
      <c r="S22" s="16"/>
      <c r="T22" s="16"/>
      <c r="U22" s="16"/>
      <c r="Y22" s="33">
        <f>Y19</f>
        <v>75033.45</v>
      </c>
    </row>
    <row r="23" spans="1:25" x14ac:dyDescent="0.2">
      <c r="A23" s="1" t="s">
        <v>35</v>
      </c>
      <c r="B23" s="2">
        <v>3857</v>
      </c>
      <c r="C23" s="3"/>
      <c r="D23" s="18"/>
      <c r="P23" s="14"/>
      <c r="Q23" s="14"/>
      <c r="R23" s="16"/>
      <c r="S23" s="16"/>
      <c r="T23" s="16"/>
      <c r="U23" s="16"/>
      <c r="Y23" s="32">
        <f>Y21-Y22</f>
        <v>353.92333333333954</v>
      </c>
    </row>
    <row r="24" spans="1:25" ht="17" x14ac:dyDescent="0.2">
      <c r="A24" s="1" t="s">
        <v>36</v>
      </c>
      <c r="B24" s="2">
        <v>5571.3</v>
      </c>
      <c r="C24" s="1"/>
      <c r="D24" s="18" t="s">
        <v>11</v>
      </c>
      <c r="P24" s="14" t="s">
        <v>78</v>
      </c>
      <c r="Q24" s="14">
        <v>2022</v>
      </c>
      <c r="R24" s="16">
        <v>4581.5</v>
      </c>
      <c r="S24" s="16">
        <v>1467.17</v>
      </c>
      <c r="T24" s="27"/>
      <c r="U24" s="17">
        <v>3114.33</v>
      </c>
    </row>
    <row r="25" spans="1:25" x14ac:dyDescent="0.2">
      <c r="A25" s="1" t="s">
        <v>37</v>
      </c>
      <c r="B25" s="2">
        <v>3642.6</v>
      </c>
      <c r="C25" s="3"/>
      <c r="D25" s="18"/>
      <c r="P25" s="14"/>
      <c r="Q25" s="14">
        <v>2023</v>
      </c>
      <c r="R25" s="16">
        <v>25720.28</v>
      </c>
      <c r="S25" s="16">
        <v>8743.6200000000008</v>
      </c>
      <c r="T25" s="16">
        <v>12</v>
      </c>
      <c r="U25" s="16">
        <v>16988.66</v>
      </c>
    </row>
    <row r="26" spans="1:25" x14ac:dyDescent="0.2">
      <c r="A26" s="1" t="s">
        <v>38</v>
      </c>
      <c r="B26" s="2">
        <v>3642.6</v>
      </c>
      <c r="C26" s="3"/>
      <c r="D26" s="18"/>
      <c r="P26" s="14"/>
      <c r="Q26" s="14">
        <v>2024</v>
      </c>
      <c r="R26" s="16">
        <v>36996.92</v>
      </c>
      <c r="S26" s="16">
        <v>12598.63</v>
      </c>
      <c r="T26" s="27"/>
      <c r="U26" s="17">
        <v>24398.29</v>
      </c>
    </row>
    <row r="27" spans="1:25" x14ac:dyDescent="0.2">
      <c r="A27" s="1" t="s">
        <v>39</v>
      </c>
      <c r="B27" s="19">
        <v>8333</v>
      </c>
      <c r="C27" s="3"/>
      <c r="D27" s="1"/>
      <c r="P27" s="14"/>
      <c r="Q27" s="14" t="s">
        <v>74</v>
      </c>
      <c r="R27" s="16">
        <v>18607.18</v>
      </c>
      <c r="S27" s="16">
        <v>6304.11</v>
      </c>
      <c r="T27" s="16"/>
      <c r="U27" s="16">
        <v>12303.07</v>
      </c>
    </row>
    <row r="28" spans="1:25" x14ac:dyDescent="0.2">
      <c r="A28" s="1" t="s">
        <v>40</v>
      </c>
      <c r="B28" s="20"/>
      <c r="C28" s="3"/>
      <c r="D28" s="1"/>
      <c r="P28" s="14"/>
      <c r="Q28" s="14"/>
      <c r="R28" s="16"/>
      <c r="S28" s="16"/>
      <c r="T28" s="16"/>
      <c r="U28" s="16"/>
      <c r="X28" s="32"/>
      <c r="Y28" s="32"/>
    </row>
    <row r="29" spans="1:25" x14ac:dyDescent="0.2">
      <c r="A29" s="1" t="s">
        <v>41</v>
      </c>
      <c r="B29" s="20"/>
      <c r="C29" s="3"/>
      <c r="D29" s="1"/>
      <c r="P29" s="14"/>
      <c r="Q29" s="14"/>
      <c r="R29" s="16"/>
      <c r="S29" s="16"/>
      <c r="T29" s="16"/>
      <c r="U29" s="16"/>
      <c r="Y29" s="32"/>
    </row>
    <row r="30" spans="1:25" x14ac:dyDescent="0.2">
      <c r="A30" s="1" t="s">
        <v>42</v>
      </c>
      <c r="B30" s="21"/>
      <c r="C30" s="3"/>
      <c r="D30" s="1"/>
      <c r="P30" s="14"/>
      <c r="Q30" s="14"/>
      <c r="R30" s="16"/>
      <c r="S30" s="16"/>
      <c r="T30" s="16"/>
      <c r="U30" s="16"/>
      <c r="Y30" s="32"/>
    </row>
    <row r="31" spans="1:25" x14ac:dyDescent="0.2">
      <c r="A31" s="5" t="s">
        <v>43</v>
      </c>
      <c r="B31" s="6"/>
      <c r="C31" s="6"/>
      <c r="D31" s="7"/>
      <c r="P31" s="14" t="s">
        <v>79</v>
      </c>
      <c r="Q31" s="14">
        <v>2022</v>
      </c>
      <c r="R31" s="16">
        <v>75684.5</v>
      </c>
      <c r="S31" s="16"/>
      <c r="T31" s="16"/>
      <c r="U31" s="16">
        <v>75684.5</v>
      </c>
      <c r="X31" s="32"/>
      <c r="Y31" s="32"/>
    </row>
    <row r="32" spans="1:25" x14ac:dyDescent="0.2">
      <c r="A32" s="8"/>
      <c r="B32" s="9"/>
      <c r="C32" s="9"/>
      <c r="D32" s="10"/>
      <c r="P32" s="14"/>
      <c r="Q32" s="14">
        <v>2023</v>
      </c>
      <c r="R32" s="16">
        <v>318486.18</v>
      </c>
      <c r="S32" s="16"/>
      <c r="T32" s="16"/>
      <c r="U32" s="16">
        <v>318486.18</v>
      </c>
      <c r="Y32" s="33"/>
    </row>
    <row r="33" spans="1:25" x14ac:dyDescent="0.2">
      <c r="A33" s="1" t="s">
        <v>44</v>
      </c>
      <c r="B33" s="2">
        <v>500</v>
      </c>
      <c r="C33" s="3"/>
      <c r="D33" s="1" t="s">
        <v>11</v>
      </c>
      <c r="P33" s="14"/>
      <c r="Q33" s="14">
        <v>2024</v>
      </c>
      <c r="R33" s="16">
        <v>301484.033</v>
      </c>
      <c r="S33" s="16"/>
      <c r="T33" s="16"/>
      <c r="U33" s="16">
        <v>301484.033</v>
      </c>
      <c r="Y33" s="32"/>
    </row>
    <row r="34" spans="1:25" x14ac:dyDescent="0.2">
      <c r="A34" s="1" t="s">
        <v>45</v>
      </c>
      <c r="B34" s="2"/>
      <c r="C34" s="3"/>
      <c r="D34" s="1"/>
      <c r="P34" s="14"/>
      <c r="Q34" s="14" t="s">
        <v>74</v>
      </c>
      <c r="R34" s="16">
        <v>99430.41</v>
      </c>
      <c r="S34" s="16"/>
      <c r="T34" s="16"/>
      <c r="U34" s="16">
        <v>99430.41</v>
      </c>
      <c r="X34" s="32"/>
      <c r="Y34" s="32"/>
    </row>
    <row r="35" spans="1:25" x14ac:dyDescent="0.2">
      <c r="A35" s="1" t="s">
        <v>46</v>
      </c>
      <c r="B35" s="2"/>
      <c r="C35" s="3"/>
      <c r="D35" s="1"/>
      <c r="P35" s="14"/>
      <c r="Q35" s="14"/>
      <c r="R35" s="16"/>
      <c r="S35" s="16"/>
      <c r="T35" s="16"/>
      <c r="U35" s="16">
        <f>SUMIFS('[1]Banks(2022_2024)'!U:U,'[1]Banks(2022_2024)'!X:X,"Party Orders")</f>
        <v>0</v>
      </c>
      <c r="Y35" s="33"/>
    </row>
    <row r="36" spans="1:25" x14ac:dyDescent="0.2">
      <c r="A36" s="5" t="s">
        <v>47</v>
      </c>
      <c r="B36" s="6"/>
      <c r="C36" s="6"/>
      <c r="D36" s="7"/>
      <c r="P36" s="14"/>
      <c r="Q36" s="14"/>
      <c r="R36" s="16"/>
      <c r="S36" s="16"/>
      <c r="T36" s="16"/>
      <c r="U36" s="16"/>
      <c r="Y36" s="32"/>
    </row>
    <row r="37" spans="1:25" x14ac:dyDescent="0.2">
      <c r="A37" s="8"/>
      <c r="B37" s="9"/>
      <c r="C37" s="9"/>
      <c r="D37" s="10"/>
      <c r="P37" s="14"/>
      <c r="Q37" s="14"/>
      <c r="R37" s="16"/>
      <c r="S37" s="16"/>
      <c r="T37" s="16"/>
      <c r="U37" s="16"/>
    </row>
    <row r="38" spans="1:25" x14ac:dyDescent="0.2">
      <c r="A38" s="1" t="s">
        <v>48</v>
      </c>
      <c r="B38" s="17">
        <v>350</v>
      </c>
      <c r="C38" s="3"/>
      <c r="D38" s="1" t="s">
        <v>11</v>
      </c>
      <c r="P38" s="14" t="s">
        <v>80</v>
      </c>
      <c r="Q38" s="14"/>
      <c r="R38" s="16">
        <v>421.37</v>
      </c>
      <c r="S38" s="16"/>
      <c r="T38" s="16"/>
      <c r="U38" s="16">
        <v>421.37</v>
      </c>
    </row>
    <row r="39" spans="1:25" x14ac:dyDescent="0.2">
      <c r="A39" s="1" t="s">
        <v>49</v>
      </c>
      <c r="B39" s="2">
        <v>150</v>
      </c>
      <c r="C39" s="3"/>
      <c r="D39" s="1" t="s">
        <v>11</v>
      </c>
      <c r="P39" s="14" t="s">
        <v>81</v>
      </c>
      <c r="Q39" s="14"/>
      <c r="R39" s="16">
        <v>5280</v>
      </c>
      <c r="S39" s="16"/>
      <c r="T39" s="16"/>
      <c r="U39" s="16">
        <v>5280</v>
      </c>
    </row>
    <row r="40" spans="1:25" x14ac:dyDescent="0.2">
      <c r="A40" s="5" t="s">
        <v>50</v>
      </c>
      <c r="B40" s="6"/>
      <c r="C40" s="6"/>
      <c r="D40" s="7"/>
      <c r="P40" s="14"/>
      <c r="Q40" s="14"/>
      <c r="R40" s="16"/>
      <c r="S40" s="16"/>
      <c r="T40" s="16"/>
      <c r="U40" s="16"/>
    </row>
    <row r="41" spans="1:25" x14ac:dyDescent="0.2">
      <c r="A41" s="8"/>
      <c r="B41" s="9"/>
      <c r="C41" s="9"/>
      <c r="D41" s="10"/>
      <c r="P41" s="14"/>
      <c r="Q41" s="14"/>
      <c r="R41" s="16"/>
      <c r="S41" s="16"/>
      <c r="T41" s="16"/>
      <c r="U41" s="30">
        <f>SUM(U4:U40)</f>
        <v>2780696.8830000004</v>
      </c>
    </row>
    <row r="42" spans="1:25" x14ac:dyDescent="0.2">
      <c r="A42" s="1" t="s">
        <v>51</v>
      </c>
      <c r="B42" s="2">
        <v>3200</v>
      </c>
      <c r="C42" s="3"/>
      <c r="D42" s="1"/>
    </row>
    <row r="43" spans="1:25" x14ac:dyDescent="0.2">
      <c r="A43" s="1" t="s">
        <v>52</v>
      </c>
      <c r="B43" s="2">
        <v>15000</v>
      </c>
      <c r="C43" s="3"/>
      <c r="D43" s="12"/>
    </row>
    <row r="44" spans="1:25" x14ac:dyDescent="0.2">
      <c r="A44" s="1" t="s">
        <v>53</v>
      </c>
      <c r="B44" s="2">
        <v>300</v>
      </c>
      <c r="C44" s="3"/>
      <c r="D44" s="12"/>
    </row>
    <row r="45" spans="1:25" x14ac:dyDescent="0.2">
      <c r="A45" s="14" t="s">
        <v>54</v>
      </c>
      <c r="B45" s="2">
        <v>1000</v>
      </c>
      <c r="C45" s="3"/>
      <c r="D45" s="1"/>
    </row>
    <row r="46" spans="1:25" x14ac:dyDescent="0.2">
      <c r="A46" s="3" t="s">
        <v>55</v>
      </c>
      <c r="B46" s="11">
        <v>1000</v>
      </c>
      <c r="C46" s="3"/>
      <c r="D46" s="1"/>
    </row>
    <row r="47" spans="1:25" x14ac:dyDescent="0.2">
      <c r="A47" s="1" t="s">
        <v>56</v>
      </c>
      <c r="B47" s="2">
        <v>1000</v>
      </c>
      <c r="C47" s="3"/>
      <c r="D47" s="1"/>
    </row>
    <row r="48" spans="1:25" x14ac:dyDescent="0.2">
      <c r="A48" s="1" t="s">
        <v>57</v>
      </c>
      <c r="B48" s="2">
        <v>200</v>
      </c>
      <c r="C48" s="3"/>
      <c r="D48" s="1"/>
    </row>
    <row r="49" spans="1:4" x14ac:dyDescent="0.2">
      <c r="A49" s="1" t="s">
        <v>58</v>
      </c>
      <c r="B49" s="2">
        <v>3000</v>
      </c>
      <c r="C49" s="3"/>
      <c r="D49" s="1"/>
    </row>
    <row r="50" spans="1:4" x14ac:dyDescent="0.2">
      <c r="A50" s="1" t="s">
        <v>59</v>
      </c>
      <c r="B50" s="22">
        <v>400</v>
      </c>
      <c r="C50" s="3"/>
      <c r="D50" s="1"/>
    </row>
    <row r="51" spans="1:4" x14ac:dyDescent="0.2">
      <c r="A51" s="23" t="s">
        <v>60</v>
      </c>
      <c r="B51" s="23"/>
      <c r="C51" s="23"/>
      <c r="D51" s="23"/>
    </row>
    <row r="52" spans="1:4" x14ac:dyDescent="0.2">
      <c r="A52" s="23"/>
      <c r="B52" s="23"/>
      <c r="C52" s="23"/>
      <c r="D52" s="23"/>
    </row>
    <row r="53" spans="1:4" x14ac:dyDescent="0.2">
      <c r="A53" s="1" t="s">
        <v>61</v>
      </c>
      <c r="B53" s="14">
        <v>300</v>
      </c>
      <c r="C53" s="3"/>
      <c r="D53" s="1"/>
    </row>
    <row r="54" spans="1:4" x14ac:dyDescent="0.2">
      <c r="A54" s="1" t="s">
        <v>62</v>
      </c>
      <c r="B54" s="2">
        <v>85</v>
      </c>
      <c r="C54" s="3"/>
      <c r="D54" s="1"/>
    </row>
    <row r="55" spans="1:4" x14ac:dyDescent="0.2">
      <c r="A55" s="1" t="s">
        <v>63</v>
      </c>
      <c r="B55" s="14">
        <v>290</v>
      </c>
      <c r="C55" s="3"/>
      <c r="D55" s="1"/>
    </row>
    <row r="56" spans="1:4" x14ac:dyDescent="0.2">
      <c r="A56" s="23" t="s">
        <v>64</v>
      </c>
      <c r="B56" s="23"/>
      <c r="C56" s="23"/>
      <c r="D56" s="23"/>
    </row>
    <row r="57" spans="1:4" x14ac:dyDescent="0.2">
      <c r="A57" s="23"/>
      <c r="B57" s="23"/>
      <c r="C57" s="23"/>
      <c r="D57" s="23"/>
    </row>
    <row r="58" spans="1:4" x14ac:dyDescent="0.2">
      <c r="A58" s="1" t="s">
        <v>65</v>
      </c>
      <c r="B58" s="2">
        <v>2500</v>
      </c>
      <c r="C58" s="1"/>
      <c r="D58" s="1" t="s">
        <v>11</v>
      </c>
    </row>
    <row r="59" spans="1:4" x14ac:dyDescent="0.2">
      <c r="A59" s="1" t="s">
        <v>66</v>
      </c>
      <c r="B59" s="2">
        <v>1000</v>
      </c>
      <c r="C59" s="3"/>
      <c r="D59" s="1" t="s">
        <v>11</v>
      </c>
    </row>
    <row r="60" spans="1:4" x14ac:dyDescent="0.2">
      <c r="A60" s="14" t="s">
        <v>82</v>
      </c>
      <c r="B60" s="16">
        <v>700</v>
      </c>
      <c r="C60" s="14"/>
      <c r="D60" s="14"/>
    </row>
    <row r="61" spans="1:4" x14ac:dyDescent="0.2">
      <c r="A61" s="14"/>
      <c r="B61" s="14"/>
      <c r="C61" s="14"/>
      <c r="D61" s="14"/>
    </row>
    <row r="62" spans="1:4" x14ac:dyDescent="0.2">
      <c r="A62" s="14" t="s">
        <v>17</v>
      </c>
      <c r="B62" s="24">
        <f>SUM(B4:B13)+SUM(B16:B19)+SUM(B22:B30)+SUM(B33:B35)+SUM(B38:B39)+SUM(B42:B50)+SUM(B53:B55)+SUM(B58:B59)</f>
        <v>75033.45</v>
      </c>
      <c r="C62" s="14"/>
      <c r="D62" s="14"/>
    </row>
  </sheetData>
  <autoFilter ref="A2:U60" xr:uid="{250510A1-C344-B446-A72C-29AC629A6006}">
    <filterColumn colId="0" showButton="0"/>
    <filterColumn colId="1" showButton="0"/>
    <filterColumn colId="2" showButton="0"/>
  </autoFilter>
  <mergeCells count="17">
    <mergeCell ref="A36:D37"/>
    <mergeCell ref="A40:D41"/>
    <mergeCell ref="A51:D52"/>
    <mergeCell ref="A56:D57"/>
    <mergeCell ref="P1:U1"/>
    <mergeCell ref="K16:L16"/>
    <mergeCell ref="K17:L17"/>
    <mergeCell ref="K18:L18"/>
    <mergeCell ref="A20:D21"/>
    <mergeCell ref="B27:B30"/>
    <mergeCell ref="A31:D32"/>
    <mergeCell ref="A2:D3"/>
    <mergeCell ref="K12:L12"/>
    <mergeCell ref="K13:L13"/>
    <mergeCell ref="A14:D15"/>
    <mergeCell ref="K14:L14"/>
    <mergeCell ref="K15:L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Sushanth Gopireddy</dc:creator>
  <cp:lastModifiedBy>Sushanth Gopireddy</cp:lastModifiedBy>
  <dcterms:created xsi:type="dcterms:W3CDTF">2025-10-24T23:00:38Z</dcterms:created>
  <dcterms:modified xsi:type="dcterms:W3CDTF">2025-10-25T02:53:18Z</dcterms:modified>
</cp:coreProperties>
</file>